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unning/the-remix-tour/pisa/notes/"/>
    </mc:Choice>
  </mc:AlternateContent>
  <xr:revisionPtr revIDLastSave="0" documentId="13_ncr:1_{88D3F0AF-818D-EC4B-87E0-A7691267319D}" xr6:coauthVersionLast="47" xr6:coauthVersionMax="47" xr10:uidLastSave="{00000000-0000-0000-0000-000000000000}"/>
  <bookViews>
    <workbookView xWindow="0" yWindow="600" windowWidth="38400" windowHeight="19720" xr2:uid="{E04C787C-453E-8746-A834-5A189E248A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H3" i="1"/>
  <c r="H4" i="1"/>
  <c r="H2" i="1"/>
  <c r="F10" i="1"/>
  <c r="F3" i="1"/>
  <c r="F4" i="1"/>
  <c r="E7" i="1"/>
  <c r="E6" i="1"/>
  <c r="E5" i="1"/>
  <c r="E4" i="1"/>
  <c r="E3" i="1"/>
  <c r="E2" i="1"/>
  <c r="F7" i="1" l="1"/>
  <c r="F2" i="1"/>
  <c r="F6" i="1"/>
  <c r="F5" i="1"/>
  <c r="F9" i="1" l="1"/>
  <c r="F11" i="1" s="1"/>
</calcChain>
</file>

<file path=xl/sharedStrings.xml><?xml version="1.0" encoding="utf-8"?>
<sst xmlns="http://schemas.openxmlformats.org/spreadsheetml/2006/main" count="27" uniqueCount="27">
  <si>
    <t>Worker</t>
  </si>
  <si>
    <t>Alan</t>
  </si>
  <si>
    <t>Betty</t>
  </si>
  <si>
    <t>Chad</t>
  </si>
  <si>
    <t>Daniel</t>
  </si>
  <si>
    <t>Edith</t>
  </si>
  <si>
    <t>Frank</t>
  </si>
  <si>
    <t>D</t>
  </si>
  <si>
    <t>Delta Y</t>
  </si>
  <si>
    <t>p(x)</t>
  </si>
  <si>
    <t>propensity score is "the conditional probability of treatment"</t>
  </si>
  <si>
    <t>If I randomly pulled a worker out of the sample, and they were a female, what percent of females are treated</t>
  </si>
  <si>
    <r>
      <t xml:space="preserve">If I randomly pulled a worker out of the sample, and they were a </t>
    </r>
    <r>
      <rPr>
        <b/>
        <sz val="12"/>
        <color theme="1"/>
        <rFont val="Aptos Narrow"/>
        <scheme val="minor"/>
      </rPr>
      <t>male</t>
    </r>
    <r>
      <rPr>
        <sz val="12"/>
        <color theme="1"/>
        <rFont val="Aptos Narrow"/>
        <family val="2"/>
        <scheme val="minor"/>
      </rPr>
      <t>, what percent of males are treated</t>
    </r>
  </si>
  <si>
    <t>IPW</t>
  </si>
  <si>
    <t>1-p(x)</t>
  </si>
  <si>
    <t xml:space="preserve">IPW = </t>
  </si>
  <si>
    <t>"inverse probability weight" (IPW) =[ (D- p(x)]/(1-p(x))</t>
  </si>
  <si>
    <t>D-p(x)</t>
  </si>
  <si>
    <t>IPW x Delta Y</t>
  </si>
  <si>
    <t>IPW is "weighting up" control units whose propensity scores are above 0.5 bc they "look like treated units".</t>
  </si>
  <si>
    <t>IPW is "weighting down" control units whose propensity scores is &lt;0.5 bc they don't look like treated units</t>
  </si>
  <si>
    <t xml:space="preserve">IPW is doing nothing to control units whose propensity scores are 0.5. </t>
  </si>
  <si>
    <t>Average IPW x Delta Y</t>
  </si>
  <si>
    <t>Average treated</t>
  </si>
  <si>
    <t>Estimated ATT</t>
  </si>
  <si>
    <t>Delta Y hat</t>
  </si>
  <si>
    <t>OR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</si>
</sst>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4" xfId="0" applyFill="1" applyBorder="1"/>
    <xf numFmtId="0" fontId="0" fillId="2" borderId="6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0" xfId="0" applyFont="1" applyFill="1" applyBorder="1"/>
    <xf numFmtId="0" fontId="0" fillId="3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FAB4-2F7F-104D-AB5B-462F0D4E5451}">
  <dimension ref="A1:H19"/>
  <sheetViews>
    <sheetView tabSelected="1" zoomScale="209" workbookViewId="0">
      <selection activeCell="I13" sqref="I13"/>
    </sheetView>
  </sheetViews>
  <sheetFormatPr baseColWidth="10" defaultRowHeight="16" x14ac:dyDescent="0.2"/>
  <cols>
    <col min="6" max="6" width="11.83203125" customWidth="1"/>
  </cols>
  <sheetData>
    <row r="1" spans="1:8" ht="17" thickBot="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13</v>
      </c>
      <c r="F1" s="1" t="s">
        <v>18</v>
      </c>
      <c r="G1" s="1" t="s">
        <v>25</v>
      </c>
      <c r="H1" s="1" t="s">
        <v>26</v>
      </c>
    </row>
    <row r="2" spans="1:8" x14ac:dyDescent="0.2">
      <c r="A2" s="2" t="s">
        <v>1</v>
      </c>
      <c r="B2" s="3">
        <v>1</v>
      </c>
      <c r="C2" s="12">
        <v>500</v>
      </c>
      <c r="D2" s="8">
        <v>0.75</v>
      </c>
      <c r="E2" s="8">
        <f>(B2-D2)/(1-D2)</f>
        <v>1</v>
      </c>
      <c r="F2" s="15">
        <f>E2*C2</f>
        <v>500</v>
      </c>
      <c r="G2" s="23">
        <v>450</v>
      </c>
      <c r="H2">
        <f>C2-G2</f>
        <v>50</v>
      </c>
    </row>
    <row r="3" spans="1:8" x14ac:dyDescent="0.2">
      <c r="A3" s="4" t="s">
        <v>2</v>
      </c>
      <c r="B3" s="5">
        <v>1</v>
      </c>
      <c r="C3" s="13">
        <v>250</v>
      </c>
      <c r="D3" s="9">
        <v>0.5</v>
      </c>
      <c r="E3" s="9">
        <f>(B3-D3)/(1-D3)</f>
        <v>1</v>
      </c>
      <c r="F3" s="16">
        <f t="shared" ref="F3:F7" si="0">E3*C3</f>
        <v>250</v>
      </c>
      <c r="G3" s="23">
        <v>225</v>
      </c>
      <c r="H3">
        <f t="shared" ref="H3:H4" si="1">C3-G3</f>
        <v>25</v>
      </c>
    </row>
    <row r="4" spans="1:8" ht="17" thickBot="1" x14ac:dyDescent="0.25">
      <c r="A4" s="6" t="s">
        <v>3</v>
      </c>
      <c r="B4" s="7">
        <v>1</v>
      </c>
      <c r="C4" s="14">
        <v>100</v>
      </c>
      <c r="D4" s="10">
        <v>0.25</v>
      </c>
      <c r="E4" s="10">
        <f>(B4-D4)/(1-D4)</f>
        <v>1</v>
      </c>
      <c r="F4" s="17">
        <f t="shared" si="0"/>
        <v>100</v>
      </c>
      <c r="G4" s="23">
        <v>95</v>
      </c>
      <c r="H4">
        <f t="shared" si="1"/>
        <v>5</v>
      </c>
    </row>
    <row r="5" spans="1:8" x14ac:dyDescent="0.2">
      <c r="A5" s="2" t="s">
        <v>4</v>
      </c>
      <c r="B5" s="3">
        <v>0</v>
      </c>
      <c r="C5" s="12">
        <v>50</v>
      </c>
      <c r="D5" s="9">
        <v>0.75</v>
      </c>
      <c r="E5" s="8">
        <f>(B5-D5)/(1-D5)</f>
        <v>-3</v>
      </c>
      <c r="F5" s="18">
        <f t="shared" si="0"/>
        <v>-150</v>
      </c>
    </row>
    <row r="6" spans="1:8" x14ac:dyDescent="0.2">
      <c r="A6" s="4" t="s">
        <v>5</v>
      </c>
      <c r="B6" s="5">
        <v>0</v>
      </c>
      <c r="C6" s="13">
        <v>200</v>
      </c>
      <c r="D6" s="9">
        <v>0.5</v>
      </c>
      <c r="E6" s="9">
        <f>(B6-D6)/(1-D6)</f>
        <v>-1</v>
      </c>
      <c r="F6" s="19">
        <f t="shared" si="0"/>
        <v>-200</v>
      </c>
    </row>
    <row r="7" spans="1:8" ht="17" thickBot="1" x14ac:dyDescent="0.25">
      <c r="A7" s="6" t="s">
        <v>6</v>
      </c>
      <c r="B7" s="7">
        <v>0</v>
      </c>
      <c r="C7" s="14">
        <v>350</v>
      </c>
      <c r="D7" s="10">
        <v>0.25</v>
      </c>
      <c r="E7" s="10">
        <f>(B7-D7)/(1-D7)</f>
        <v>-0.33333333333333331</v>
      </c>
      <c r="F7" s="20">
        <f t="shared" si="0"/>
        <v>-116.66666666666666</v>
      </c>
    </row>
    <row r="9" spans="1:8" x14ac:dyDescent="0.2">
      <c r="D9" t="s">
        <v>22</v>
      </c>
      <c r="F9" s="21">
        <f>AVERAGE(F2:F7)</f>
        <v>63.888888888888893</v>
      </c>
      <c r="G9" t="s">
        <v>19</v>
      </c>
    </row>
    <row r="10" spans="1:8" ht="17" thickBot="1" x14ac:dyDescent="0.25">
      <c r="D10" t="s">
        <v>23</v>
      </c>
      <c r="F10">
        <f>AVERAGE(B2:B7)</f>
        <v>0.5</v>
      </c>
      <c r="G10" t="s">
        <v>20</v>
      </c>
    </row>
    <row r="11" spans="1:8" ht="17" thickBot="1" x14ac:dyDescent="0.25">
      <c r="D11" t="s">
        <v>24</v>
      </c>
      <c r="F11" s="22">
        <f>F9/F10</f>
        <v>127.77777777777779</v>
      </c>
      <c r="G11" t="s">
        <v>21</v>
      </c>
    </row>
    <row r="12" spans="1:8" x14ac:dyDescent="0.2">
      <c r="B12" t="s">
        <v>10</v>
      </c>
    </row>
    <row r="13" spans="1:8" x14ac:dyDescent="0.2">
      <c r="C13" t="s">
        <v>12</v>
      </c>
    </row>
    <row r="14" spans="1:8" x14ac:dyDescent="0.2">
      <c r="C14" t="s">
        <v>11</v>
      </c>
    </row>
    <row r="16" spans="1:8" x14ac:dyDescent="0.2">
      <c r="B16" t="s">
        <v>16</v>
      </c>
      <c r="F16">
        <f>AVERAGE(H2:H4,F5:F7)</f>
        <v>-64.444444444444443</v>
      </c>
    </row>
    <row r="18" spans="3:4" x14ac:dyDescent="0.2">
      <c r="C18" t="s">
        <v>15</v>
      </c>
      <c r="D18" s="11" t="s">
        <v>17</v>
      </c>
    </row>
    <row r="19" spans="3:4" x14ac:dyDescent="0.2">
      <c r="D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Cunningham</dc:creator>
  <cp:lastModifiedBy>Scott Cunningham</cp:lastModifiedBy>
  <dcterms:created xsi:type="dcterms:W3CDTF">2026-06-09T10:33:18Z</dcterms:created>
  <dcterms:modified xsi:type="dcterms:W3CDTF">2026-06-09T12:41:53Z</dcterms:modified>
</cp:coreProperties>
</file>