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nning/Codechella-Madrid/Labs/Baker/"/>
    </mc:Choice>
  </mc:AlternateContent>
  <xr:revisionPtr revIDLastSave="0" documentId="13_ncr:1_{BCF80114-19D6-C34F-8701-4A0B30F358E4}" xr6:coauthVersionLast="47" xr6:coauthVersionMax="47" xr10:uidLastSave="{00000000-0000-0000-0000-000000000000}"/>
  <bookViews>
    <workbookView xWindow="0" yWindow="660" windowWidth="34560" windowHeight="20400" activeTab="1" xr2:uid="{E65681B8-3709-A448-9EFD-E8F5A232F58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2" l="1"/>
  <c r="I14" i="2"/>
  <c r="D14" i="2"/>
  <c r="H3" i="2"/>
  <c r="G23" i="1"/>
  <c r="G20" i="1"/>
  <c r="G16" i="1"/>
  <c r="G13" i="1"/>
  <c r="C29" i="1"/>
  <c r="C14" i="1"/>
  <c r="D15" i="2" l="1"/>
  <c r="D16" i="2" l="1"/>
  <c r="D19" i="2"/>
</calcChain>
</file>

<file path=xl/sharedStrings.xml><?xml version="1.0" encoding="utf-8"?>
<sst xmlns="http://schemas.openxmlformats.org/spreadsheetml/2006/main" count="101" uniqueCount="39">
  <si>
    <t>State</t>
  </si>
  <si>
    <t>Year</t>
  </si>
  <si>
    <t>D</t>
  </si>
  <si>
    <t>Outcome</t>
  </si>
  <si>
    <t>Madrid</t>
  </si>
  <si>
    <t>Barcelona</t>
  </si>
  <si>
    <t>San Sebastian</t>
  </si>
  <si>
    <t>What does TWFE do when you estimate this equation:</t>
  </si>
  <si>
    <t>y = Madrid_FE + Barcelon_FE + year_fe + delta D</t>
  </si>
  <si>
    <t>What is delta^twfe</t>
  </si>
  <si>
    <t>Bacon shows that it is this:</t>
  </si>
  <si>
    <t>Madrid 2x2 vs San Sebastian</t>
  </si>
  <si>
    <t>(Y_after - Y_before) - (Y_after - Y_before)</t>
  </si>
  <si>
    <t>2x2_M,SS</t>
  </si>
  <si>
    <t>Case 1</t>
  </si>
  <si>
    <t>Case 2</t>
  </si>
  <si>
    <t>Bacelona 2x2 vs San Sebastian</t>
  </si>
  <si>
    <t>2x2_B,SS</t>
  </si>
  <si>
    <t>Never treated 2x2s</t>
  </si>
  <si>
    <t>Case 3</t>
  </si>
  <si>
    <t>Madrid 2x2 vs Barcelona</t>
  </si>
  <si>
    <t xml:space="preserve">2x2_M,B </t>
  </si>
  <si>
    <t>Not-yet-treated 2x2 bc Barcelona is not yet treated in this 2x2</t>
  </si>
  <si>
    <t>Case 4</t>
  </si>
  <si>
    <t>Barcelona 2x2 vs Madrid</t>
  </si>
  <si>
    <t>2x2_B,M</t>
  </si>
  <si>
    <t>Already-treated 2x2 bc Madrid in this 2x2 is already treated</t>
  </si>
  <si>
    <t>TWFE will calculate 2x2_M,SS, 2x2_B,SS, 2x2_M,B and 2x2_B,M .  It calculated all four of them. Then it calculates four different weights. And then it does this</t>
  </si>
  <si>
    <t>TWFE = w1 x 2x2_M,SS + w2_2x2_B,SS + w3 x 2x2_M,B + w4 x 2x2_B,M</t>
  </si>
  <si>
    <t>Dbar</t>
  </si>
  <si>
    <t>1-Dbar</t>
  </si>
  <si>
    <t>weights on the 2x2s based on Madrid vs San Sebastian, or Barcelona vs San Sebastian is:</t>
  </si>
  <si>
    <t>n_m x n_ss x Dbar x (1-Dbar)/variance</t>
  </si>
  <si>
    <t xml:space="preserve">weight </t>
  </si>
  <si>
    <t>Dbar(1-Dbar)=</t>
  </si>
  <si>
    <t>This variance term -- Dbar(1-Dbar) -- and therefore the weight</t>
  </si>
  <si>
    <r>
      <t xml:space="preserve">is hitting the max at the </t>
    </r>
    <r>
      <rPr>
        <i/>
        <sz val="12"/>
        <color theme="1"/>
        <rFont val="Aptos Narrow"/>
        <scheme val="minor"/>
      </rPr>
      <t>middle of the panel dataset</t>
    </r>
    <r>
      <rPr>
        <sz val="12"/>
        <color theme="1"/>
        <rFont val="Aptos Narrow"/>
        <scheme val="minor"/>
      </rPr>
      <t>. Which means</t>
    </r>
  </si>
  <si>
    <t>the groups who are treated in the middle of your dataset get t</t>
  </si>
  <si>
    <t xml:space="preserve">the largest weight.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</si>
</sst>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3" fontId="0" fillId="2" borderId="7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6" xfId="0" applyFill="1" applyBorder="1"/>
    <xf numFmtId="3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3" fontId="0" fillId="4" borderId="7" xfId="0" applyNumberFormat="1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F312-59A0-B44B-9F3A-64ABBB41F9E2}">
  <dimension ref="A1:J34"/>
  <sheetViews>
    <sheetView zoomScale="143" zoomScaleNormal="297" workbookViewId="0">
      <selection sqref="A1:D1048576"/>
    </sheetView>
  </sheetViews>
  <sheetFormatPr baseColWidth="10" defaultRowHeight="16" x14ac:dyDescent="0.2"/>
  <cols>
    <col min="1" max="1" width="12.5" bestFit="1" customWidth="1"/>
  </cols>
  <sheetData>
    <row r="1" spans="1:10" x14ac:dyDescent="0.2">
      <c r="A1" t="s">
        <v>0</v>
      </c>
      <c r="B1" t="s">
        <v>1</v>
      </c>
      <c r="C1" t="s">
        <v>3</v>
      </c>
      <c r="D1" t="s">
        <v>2</v>
      </c>
    </row>
    <row r="2" spans="1:10" x14ac:dyDescent="0.2">
      <c r="A2" t="s">
        <v>4</v>
      </c>
      <c r="B2">
        <v>1980</v>
      </c>
      <c r="C2">
        <v>500</v>
      </c>
      <c r="D2">
        <v>0</v>
      </c>
    </row>
    <row r="3" spans="1:10" x14ac:dyDescent="0.2">
      <c r="A3" t="s">
        <v>4</v>
      </c>
      <c r="B3">
        <v>1981</v>
      </c>
      <c r="C3">
        <v>750</v>
      </c>
      <c r="D3">
        <v>0</v>
      </c>
      <c r="F3" t="s">
        <v>27</v>
      </c>
    </row>
    <row r="4" spans="1:10" x14ac:dyDescent="0.2">
      <c r="A4" t="s">
        <v>4</v>
      </c>
      <c r="B4">
        <v>1982</v>
      </c>
      <c r="C4">
        <v>1250</v>
      </c>
      <c r="D4">
        <v>1</v>
      </c>
      <c r="G4" t="s">
        <v>28</v>
      </c>
    </row>
    <row r="5" spans="1:10" x14ac:dyDescent="0.2">
      <c r="A5" t="s">
        <v>4</v>
      </c>
      <c r="B5">
        <v>1983</v>
      </c>
      <c r="C5">
        <v>1750</v>
      </c>
      <c r="D5">
        <v>1</v>
      </c>
    </row>
    <row r="6" spans="1:10" ht="17" thickBot="1" x14ac:dyDescent="0.25">
      <c r="A6" t="s">
        <v>4</v>
      </c>
      <c r="B6">
        <v>1984</v>
      </c>
      <c r="C6">
        <v>2400</v>
      </c>
      <c r="D6">
        <v>1</v>
      </c>
      <c r="F6" t="s">
        <v>7</v>
      </c>
    </row>
    <row r="7" spans="1:10" ht="17" thickBot="1" x14ac:dyDescent="0.25">
      <c r="A7" t="s">
        <v>4</v>
      </c>
      <c r="B7">
        <v>1985</v>
      </c>
      <c r="C7">
        <v>3000</v>
      </c>
      <c r="D7">
        <v>1</v>
      </c>
      <c r="G7" s="30" t="s">
        <v>8</v>
      </c>
      <c r="H7" s="31"/>
      <c r="I7" s="31"/>
      <c r="J7" s="32"/>
    </row>
    <row r="8" spans="1:10" x14ac:dyDescent="0.2">
      <c r="A8" t="s">
        <v>4</v>
      </c>
      <c r="B8">
        <v>1986</v>
      </c>
      <c r="C8">
        <v>4000</v>
      </c>
      <c r="D8">
        <v>1</v>
      </c>
      <c r="H8" t="s">
        <v>9</v>
      </c>
    </row>
    <row r="9" spans="1:10" x14ac:dyDescent="0.2">
      <c r="A9" t="s">
        <v>4</v>
      </c>
      <c r="B9">
        <v>1987</v>
      </c>
      <c r="C9">
        <v>5500</v>
      </c>
      <c r="D9">
        <v>1</v>
      </c>
      <c r="F9" t="s">
        <v>10</v>
      </c>
    </row>
    <row r="10" spans="1:10" ht="17" thickBot="1" x14ac:dyDescent="0.25">
      <c r="A10" t="s">
        <v>4</v>
      </c>
      <c r="B10">
        <v>1988</v>
      </c>
      <c r="C10">
        <v>7500</v>
      </c>
      <c r="D10">
        <v>1</v>
      </c>
    </row>
    <row r="11" spans="1:10" x14ac:dyDescent="0.2">
      <c r="A11" t="s">
        <v>4</v>
      </c>
      <c r="B11">
        <v>1989</v>
      </c>
      <c r="C11" s="1">
        <v>10000</v>
      </c>
      <c r="D11">
        <v>1</v>
      </c>
      <c r="E11" t="s">
        <v>14</v>
      </c>
      <c r="F11" s="6" t="s">
        <v>11</v>
      </c>
      <c r="G11" s="7"/>
      <c r="H11" s="7"/>
      <c r="I11" s="8"/>
    </row>
    <row r="12" spans="1:10" x14ac:dyDescent="0.2">
      <c r="A12" t="s">
        <v>4</v>
      </c>
      <c r="B12">
        <v>1990</v>
      </c>
      <c r="C12" s="1">
        <v>20000</v>
      </c>
      <c r="D12">
        <v>1</v>
      </c>
      <c r="F12" s="9"/>
      <c r="G12" s="10" t="s">
        <v>12</v>
      </c>
      <c r="H12" s="10"/>
      <c r="I12" s="11"/>
    </row>
    <row r="13" spans="1:10" ht="17" thickBot="1" x14ac:dyDescent="0.25">
      <c r="A13" t="s">
        <v>5</v>
      </c>
      <c r="B13">
        <v>1980</v>
      </c>
      <c r="C13" s="1">
        <v>55000</v>
      </c>
      <c r="D13">
        <v>0</v>
      </c>
      <c r="F13" s="12" t="s">
        <v>13</v>
      </c>
      <c r="G13" s="13">
        <f>(AVERAGE(C4:C12) - AVERAGE(C2:C3) ) - ( AVERAGE(C26:C34) - AVERAGE(C24:C25) )</f>
        <v>-4636.1111111111122</v>
      </c>
      <c r="H13" s="14"/>
      <c r="I13" s="15"/>
    </row>
    <row r="14" spans="1:10" ht="17" thickBot="1" x14ac:dyDescent="0.25">
      <c r="A14" t="s">
        <v>5</v>
      </c>
      <c r="B14">
        <v>1981</v>
      </c>
      <c r="C14">
        <f>35000</f>
        <v>35000</v>
      </c>
      <c r="D14">
        <v>0</v>
      </c>
      <c r="J14" t="s">
        <v>18</v>
      </c>
    </row>
    <row r="15" spans="1:10" x14ac:dyDescent="0.2">
      <c r="A15" t="s">
        <v>5</v>
      </c>
      <c r="B15">
        <v>1982</v>
      </c>
      <c r="C15" s="1">
        <v>35001</v>
      </c>
      <c r="D15">
        <v>0</v>
      </c>
      <c r="E15" t="s">
        <v>15</v>
      </c>
      <c r="F15" s="6" t="s">
        <v>16</v>
      </c>
      <c r="G15" s="7"/>
      <c r="H15" s="7"/>
      <c r="I15" s="8"/>
    </row>
    <row r="16" spans="1:10" ht="17" thickBot="1" x14ac:dyDescent="0.25">
      <c r="A16" t="s">
        <v>5</v>
      </c>
      <c r="B16">
        <v>1983</v>
      </c>
      <c r="C16" s="1">
        <v>25500</v>
      </c>
      <c r="D16">
        <v>0</v>
      </c>
      <c r="F16" s="12" t="s">
        <v>17</v>
      </c>
      <c r="G16" s="13">
        <f>( AVERAGE(C18:C23) - AVERAGE(C13:C17) ) - ( AVERAGE(C29:C34) - AVERAGE(C24:C28) )</f>
        <v>-3321.8666666666668</v>
      </c>
      <c r="H16" s="14"/>
      <c r="I16" s="15"/>
    </row>
    <row r="17" spans="1:10" x14ac:dyDescent="0.2">
      <c r="A17" t="s">
        <v>5</v>
      </c>
      <c r="B17">
        <v>1984</v>
      </c>
      <c r="C17" s="1">
        <v>10000</v>
      </c>
      <c r="D17">
        <v>0</v>
      </c>
    </row>
    <row r="18" spans="1:10" ht="17" thickBot="1" x14ac:dyDescent="0.25">
      <c r="A18" t="s">
        <v>5</v>
      </c>
      <c r="B18">
        <v>1985</v>
      </c>
      <c r="C18" s="1">
        <v>7500</v>
      </c>
      <c r="D18">
        <v>1</v>
      </c>
    </row>
    <row r="19" spans="1:10" x14ac:dyDescent="0.2">
      <c r="A19" t="s">
        <v>5</v>
      </c>
      <c r="B19">
        <v>1986</v>
      </c>
      <c r="C19" s="1">
        <v>2500</v>
      </c>
      <c r="D19">
        <v>1</v>
      </c>
      <c r="E19" t="s">
        <v>19</v>
      </c>
      <c r="F19" s="16" t="s">
        <v>20</v>
      </c>
      <c r="G19" s="17"/>
      <c r="H19" s="17"/>
      <c r="I19" s="18"/>
      <c r="J19" t="s">
        <v>22</v>
      </c>
    </row>
    <row r="20" spans="1:10" ht="17" thickBot="1" x14ac:dyDescent="0.25">
      <c r="A20" t="s">
        <v>5</v>
      </c>
      <c r="B20">
        <v>1987</v>
      </c>
      <c r="C20" s="1">
        <v>4500</v>
      </c>
      <c r="D20">
        <v>1</v>
      </c>
      <c r="F20" s="19" t="s">
        <v>21</v>
      </c>
      <c r="G20" s="20">
        <f>( AVERAGE(C4:C6) - AVERAGE(C2:C3) ) - (AVERAGE(C15:C17) - AVERAGE(C13:C14) )</f>
        <v>22674.666666666668</v>
      </c>
      <c r="H20" s="21"/>
      <c r="I20" s="22"/>
    </row>
    <row r="21" spans="1:10" ht="17" thickBot="1" x14ac:dyDescent="0.25">
      <c r="A21" t="s">
        <v>5</v>
      </c>
      <c r="B21">
        <v>1988</v>
      </c>
      <c r="C21" s="1">
        <v>70</v>
      </c>
      <c r="D21">
        <v>1</v>
      </c>
    </row>
    <row r="22" spans="1:10" x14ac:dyDescent="0.2">
      <c r="A22" t="s">
        <v>5</v>
      </c>
      <c r="B22">
        <v>1989</v>
      </c>
      <c r="C22" s="1">
        <v>5500</v>
      </c>
      <c r="D22">
        <v>1</v>
      </c>
      <c r="E22" t="s">
        <v>23</v>
      </c>
      <c r="F22" s="23" t="s">
        <v>24</v>
      </c>
      <c r="G22" s="24"/>
      <c r="H22" s="24"/>
      <c r="I22" s="25"/>
      <c r="J22" t="s">
        <v>26</v>
      </c>
    </row>
    <row r="23" spans="1:10" ht="17" thickBot="1" x14ac:dyDescent="0.25">
      <c r="A23" t="s">
        <v>5</v>
      </c>
      <c r="B23">
        <v>1990</v>
      </c>
      <c r="C23" s="1">
        <v>100000</v>
      </c>
      <c r="D23">
        <v>1</v>
      </c>
      <c r="F23" s="26" t="s">
        <v>25</v>
      </c>
      <c r="G23" s="27">
        <f>( AVERAGE(C18:C23) - AVERAGE(C13:C17) ) - (AVERAGE(C7:C12) - AVERAGE(C4:C6) )</f>
        <v>-18621.866666666669</v>
      </c>
      <c r="H23" s="28"/>
      <c r="I23" s="29"/>
    </row>
    <row r="24" spans="1:10" x14ac:dyDescent="0.2">
      <c r="A24" t="s">
        <v>6</v>
      </c>
      <c r="B24">
        <v>1980</v>
      </c>
      <c r="C24">
        <v>5500</v>
      </c>
      <c r="D24">
        <v>0</v>
      </c>
    </row>
    <row r="25" spans="1:10" x14ac:dyDescent="0.2">
      <c r="A25" t="s">
        <v>6</v>
      </c>
      <c r="B25">
        <v>1981</v>
      </c>
      <c r="C25">
        <v>7500</v>
      </c>
      <c r="D25">
        <v>0</v>
      </c>
    </row>
    <row r="26" spans="1:10" x14ac:dyDescent="0.2">
      <c r="A26" t="s">
        <v>6</v>
      </c>
      <c r="B26">
        <v>1982</v>
      </c>
      <c r="C26" s="1">
        <v>10000</v>
      </c>
      <c r="D26">
        <v>0</v>
      </c>
    </row>
    <row r="27" spans="1:10" x14ac:dyDescent="0.2">
      <c r="A27" t="s">
        <v>6</v>
      </c>
      <c r="B27">
        <v>1983</v>
      </c>
      <c r="C27" s="1">
        <v>20000</v>
      </c>
      <c r="D27">
        <v>0</v>
      </c>
    </row>
    <row r="28" spans="1:10" x14ac:dyDescent="0.2">
      <c r="A28" t="s">
        <v>6</v>
      </c>
      <c r="B28">
        <v>1984</v>
      </c>
      <c r="C28" s="1">
        <v>55000</v>
      </c>
      <c r="D28">
        <v>0</v>
      </c>
    </row>
    <row r="29" spans="1:10" x14ac:dyDescent="0.2">
      <c r="A29" t="s">
        <v>6</v>
      </c>
      <c r="B29">
        <v>1985</v>
      </c>
      <c r="C29">
        <f>35000</f>
        <v>35000</v>
      </c>
      <c r="D29">
        <v>0</v>
      </c>
    </row>
    <row r="30" spans="1:10" x14ac:dyDescent="0.2">
      <c r="A30" t="s">
        <v>6</v>
      </c>
      <c r="B30">
        <v>1986</v>
      </c>
      <c r="C30">
        <v>3000</v>
      </c>
      <c r="D30">
        <v>0</v>
      </c>
    </row>
    <row r="31" spans="1:10" x14ac:dyDescent="0.2">
      <c r="A31" t="s">
        <v>6</v>
      </c>
      <c r="B31">
        <v>1987</v>
      </c>
      <c r="C31">
        <v>4000</v>
      </c>
      <c r="D31">
        <v>0</v>
      </c>
    </row>
    <row r="32" spans="1:10" x14ac:dyDescent="0.2">
      <c r="A32" t="s">
        <v>6</v>
      </c>
      <c r="B32">
        <v>1988</v>
      </c>
      <c r="C32">
        <v>5500</v>
      </c>
      <c r="D32">
        <v>0</v>
      </c>
    </row>
    <row r="33" spans="1:4" x14ac:dyDescent="0.2">
      <c r="A33" t="s">
        <v>6</v>
      </c>
      <c r="B33">
        <v>1989</v>
      </c>
      <c r="C33">
        <v>7500</v>
      </c>
      <c r="D33">
        <v>0</v>
      </c>
    </row>
    <row r="34" spans="1:4" x14ac:dyDescent="0.2">
      <c r="A34" t="s">
        <v>6</v>
      </c>
      <c r="B34">
        <v>1990</v>
      </c>
      <c r="C34" s="1">
        <v>10000</v>
      </c>
      <c r="D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5721-C06B-254B-A7E0-F7D76C4B2C80}">
  <dimension ref="A1:I23"/>
  <sheetViews>
    <sheetView tabSelected="1" zoomScale="191" workbookViewId="0">
      <selection activeCell="D12" sqref="D12"/>
    </sheetView>
  </sheetViews>
  <sheetFormatPr baseColWidth="10" defaultRowHeight="16" x14ac:dyDescent="0.2"/>
  <cols>
    <col min="1" max="1" width="12.5" bestFit="1" customWidth="1"/>
    <col min="3" max="3" width="11.6640625" customWidth="1"/>
  </cols>
  <sheetData>
    <row r="1" spans="1:9" x14ac:dyDescent="0.2">
      <c r="A1" t="s">
        <v>0</v>
      </c>
      <c r="B1" t="s">
        <v>1</v>
      </c>
      <c r="C1" t="s">
        <v>3</v>
      </c>
      <c r="D1" t="s">
        <v>2</v>
      </c>
      <c r="F1" t="s">
        <v>0</v>
      </c>
      <c r="G1" t="s">
        <v>1</v>
      </c>
      <c r="H1" t="s">
        <v>3</v>
      </c>
      <c r="I1" t="s">
        <v>2</v>
      </c>
    </row>
    <row r="2" spans="1:9" x14ac:dyDescent="0.2">
      <c r="A2" t="s">
        <v>4</v>
      </c>
      <c r="B2">
        <v>1980</v>
      </c>
      <c r="C2">
        <v>500</v>
      </c>
      <c r="D2">
        <v>0</v>
      </c>
      <c r="F2" t="s">
        <v>5</v>
      </c>
      <c r="G2">
        <v>1980</v>
      </c>
      <c r="H2" s="1">
        <v>55000</v>
      </c>
      <c r="I2">
        <v>0</v>
      </c>
    </row>
    <row r="3" spans="1:9" x14ac:dyDescent="0.2">
      <c r="A3" t="s">
        <v>4</v>
      </c>
      <c r="B3">
        <v>1981</v>
      </c>
      <c r="C3">
        <v>750</v>
      </c>
      <c r="D3">
        <v>0</v>
      </c>
      <c r="F3" t="s">
        <v>5</v>
      </c>
      <c r="G3">
        <v>1981</v>
      </c>
      <c r="H3">
        <f>35000</f>
        <v>35000</v>
      </c>
      <c r="I3">
        <v>0</v>
      </c>
    </row>
    <row r="4" spans="1:9" x14ac:dyDescent="0.2">
      <c r="A4" t="s">
        <v>4</v>
      </c>
      <c r="B4">
        <v>1982</v>
      </c>
      <c r="C4">
        <v>1250</v>
      </c>
      <c r="D4">
        <v>0</v>
      </c>
      <c r="F4" t="s">
        <v>5</v>
      </c>
      <c r="G4">
        <v>1982</v>
      </c>
      <c r="H4" s="1">
        <v>35001</v>
      </c>
      <c r="I4">
        <v>0</v>
      </c>
    </row>
    <row r="5" spans="1:9" x14ac:dyDescent="0.2">
      <c r="A5" t="s">
        <v>4</v>
      </c>
      <c r="B5">
        <v>1983</v>
      </c>
      <c r="C5">
        <v>1750</v>
      </c>
      <c r="D5">
        <v>0</v>
      </c>
      <c r="F5" t="s">
        <v>5</v>
      </c>
      <c r="G5">
        <v>1983</v>
      </c>
      <c r="H5" s="1">
        <v>25500</v>
      </c>
      <c r="I5">
        <v>0</v>
      </c>
    </row>
    <row r="6" spans="1:9" x14ac:dyDescent="0.2">
      <c r="A6" t="s">
        <v>4</v>
      </c>
      <c r="B6">
        <v>1984</v>
      </c>
      <c r="C6">
        <v>2400</v>
      </c>
      <c r="D6">
        <v>0</v>
      </c>
      <c r="F6" t="s">
        <v>5</v>
      </c>
      <c r="G6">
        <v>1984</v>
      </c>
      <c r="H6" s="1">
        <v>10000</v>
      </c>
      <c r="I6">
        <v>0</v>
      </c>
    </row>
    <row r="7" spans="1:9" x14ac:dyDescent="0.2">
      <c r="A7" t="s">
        <v>4</v>
      </c>
      <c r="B7">
        <v>1985</v>
      </c>
      <c r="C7">
        <v>3000</v>
      </c>
      <c r="D7">
        <v>0</v>
      </c>
      <c r="F7" t="s">
        <v>5</v>
      </c>
      <c r="G7">
        <v>1985</v>
      </c>
      <c r="H7" s="1">
        <v>7500</v>
      </c>
      <c r="I7">
        <v>1</v>
      </c>
    </row>
    <row r="8" spans="1:9" x14ac:dyDescent="0.2">
      <c r="A8" t="s">
        <v>4</v>
      </c>
      <c r="B8">
        <v>1986</v>
      </c>
      <c r="C8">
        <v>4000</v>
      </c>
      <c r="D8">
        <v>0</v>
      </c>
      <c r="F8" t="s">
        <v>5</v>
      </c>
      <c r="G8">
        <v>1986</v>
      </c>
      <c r="H8" s="1">
        <v>2500</v>
      </c>
      <c r="I8">
        <v>1</v>
      </c>
    </row>
    <row r="9" spans="1:9" x14ac:dyDescent="0.2">
      <c r="A9" t="s">
        <v>4</v>
      </c>
      <c r="B9">
        <v>1987</v>
      </c>
      <c r="C9">
        <v>5500</v>
      </c>
      <c r="D9">
        <v>0</v>
      </c>
      <c r="F9" t="s">
        <v>5</v>
      </c>
      <c r="G9">
        <v>1987</v>
      </c>
      <c r="H9" s="1">
        <v>4500</v>
      </c>
      <c r="I9">
        <v>1</v>
      </c>
    </row>
    <row r="10" spans="1:9" x14ac:dyDescent="0.2">
      <c r="A10" t="s">
        <v>4</v>
      </c>
      <c r="B10">
        <v>1988</v>
      </c>
      <c r="C10">
        <v>7500</v>
      </c>
      <c r="D10">
        <v>0</v>
      </c>
      <c r="F10" t="s">
        <v>5</v>
      </c>
      <c r="G10">
        <v>1988</v>
      </c>
      <c r="H10" s="1">
        <v>70</v>
      </c>
      <c r="I10">
        <v>1</v>
      </c>
    </row>
    <row r="11" spans="1:9" x14ac:dyDescent="0.2">
      <c r="A11" t="s">
        <v>4</v>
      </c>
      <c r="B11">
        <v>1989</v>
      </c>
      <c r="C11" s="1">
        <v>10000</v>
      </c>
      <c r="D11">
        <v>0</v>
      </c>
      <c r="F11" t="s">
        <v>5</v>
      </c>
      <c r="G11">
        <v>1989</v>
      </c>
      <c r="H11" s="1">
        <v>5500</v>
      </c>
      <c r="I11">
        <v>1</v>
      </c>
    </row>
    <row r="12" spans="1:9" x14ac:dyDescent="0.2">
      <c r="A12" t="s">
        <v>4</v>
      </c>
      <c r="B12">
        <v>1990</v>
      </c>
      <c r="C12" s="1">
        <v>20000</v>
      </c>
      <c r="D12">
        <v>1</v>
      </c>
      <c r="F12" t="s">
        <v>5</v>
      </c>
      <c r="G12">
        <v>1990</v>
      </c>
      <c r="H12" s="1">
        <v>100000</v>
      </c>
      <c r="I12">
        <v>1</v>
      </c>
    </row>
    <row r="13" spans="1:9" ht="17" thickBot="1" x14ac:dyDescent="0.25"/>
    <row r="14" spans="1:9" x14ac:dyDescent="0.2">
      <c r="C14" s="2" t="s">
        <v>29</v>
      </c>
      <c r="D14" s="3">
        <f>AVERAGE(D2:D12)</f>
        <v>9.0909090909090912E-2</v>
      </c>
      <c r="H14" t="s">
        <v>29</v>
      </c>
      <c r="I14">
        <f>AVERAGE(I2:I12)</f>
        <v>0.54545454545454541</v>
      </c>
    </row>
    <row r="15" spans="1:9" ht="17" thickBot="1" x14ac:dyDescent="0.25">
      <c r="C15" s="4" t="s">
        <v>30</v>
      </c>
      <c r="D15" s="5">
        <f>1-D14</f>
        <v>0.90909090909090906</v>
      </c>
      <c r="H15" s="1" t="s">
        <v>30</v>
      </c>
      <c r="I15">
        <f>1-I14</f>
        <v>0.45454545454545459</v>
      </c>
    </row>
    <row r="16" spans="1:9" ht="17" thickBot="1" x14ac:dyDescent="0.25">
      <c r="C16" s="30" t="s">
        <v>34</v>
      </c>
      <c r="D16" s="32">
        <f>D14*D15</f>
        <v>8.2644628099173556E-2</v>
      </c>
      <c r="H16" s="1"/>
    </row>
    <row r="17" spans="3:8" x14ac:dyDescent="0.2">
      <c r="C17" t="s">
        <v>31</v>
      </c>
      <c r="H17" s="1"/>
    </row>
    <row r="18" spans="3:8" ht="17" thickBot="1" x14ac:dyDescent="0.25">
      <c r="D18" t="s">
        <v>32</v>
      </c>
    </row>
    <row r="19" spans="3:8" ht="17" thickBot="1" x14ac:dyDescent="0.25">
      <c r="C19" s="30" t="s">
        <v>33</v>
      </c>
      <c r="D19" s="32">
        <f>(1/3) * (1/3) *D14*(D15)</f>
        <v>9.1827364554637279E-3</v>
      </c>
      <c r="F19" t="s">
        <v>35</v>
      </c>
    </row>
    <row r="20" spans="3:8" x14ac:dyDescent="0.2">
      <c r="F20" t="s">
        <v>36</v>
      </c>
    </row>
    <row r="21" spans="3:8" x14ac:dyDescent="0.2">
      <c r="F21" t="s">
        <v>37</v>
      </c>
    </row>
    <row r="22" spans="3:8" x14ac:dyDescent="0.2">
      <c r="F22" t="s">
        <v>38</v>
      </c>
    </row>
    <row r="23" spans="3:8" x14ac:dyDescent="0.2">
      <c r="H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Cunningham</dc:creator>
  <cp:lastModifiedBy>Scott Cunningham</cp:lastModifiedBy>
  <dcterms:created xsi:type="dcterms:W3CDTF">2026-05-28T08:14:23Z</dcterms:created>
  <dcterms:modified xsi:type="dcterms:W3CDTF">2026-06-01T16:10:27Z</dcterms:modified>
</cp:coreProperties>
</file>