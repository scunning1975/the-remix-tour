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the-remix-tour/ispra/notes/"/>
    </mc:Choice>
  </mc:AlternateContent>
  <xr:revisionPtr revIDLastSave="0" documentId="8_{D5BE3A84-9592-E843-8821-3F8CAE330A65}" xr6:coauthVersionLast="47" xr6:coauthVersionMax="47" xr10:uidLastSave="{00000000-0000-0000-0000-000000000000}"/>
  <bookViews>
    <workbookView xWindow="33920" yWindow="600" windowWidth="34560" windowHeight="20400" activeTab="1" xr2:uid="{39056C91-0DBB-F74A-B0D6-FC136F93635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2" l="1"/>
  <c r="F10" i="1"/>
  <c r="F9" i="1"/>
  <c r="F3" i="1"/>
  <c r="F4" i="1"/>
  <c r="F5" i="1"/>
  <c r="F6" i="1"/>
  <c r="F2" i="1"/>
  <c r="E4" i="1"/>
  <c r="E5" i="1"/>
  <c r="E6" i="1"/>
  <c r="E3" i="1"/>
  <c r="E2" i="1"/>
  <c r="C15" i="2" l="1"/>
  <c r="F11" i="1"/>
  <c r="C16" i="2" l="1"/>
</calcChain>
</file>

<file path=xl/sharedStrings.xml><?xml version="1.0" encoding="utf-8"?>
<sst xmlns="http://schemas.openxmlformats.org/spreadsheetml/2006/main" count="50" uniqueCount="39">
  <si>
    <t>Student</t>
  </si>
  <si>
    <t>Alan</t>
  </si>
  <si>
    <t>Bob</t>
  </si>
  <si>
    <t>Chad</t>
  </si>
  <si>
    <t>Daniel</t>
  </si>
  <si>
    <t>Edith</t>
  </si>
  <si>
    <t>Treat</t>
  </si>
  <si>
    <t>Delta Y</t>
  </si>
  <si>
    <t>p(x)</t>
  </si>
  <si>
    <t>IPW = (D-p(x))/(1-p(x))</t>
  </si>
  <si>
    <t>IPW</t>
  </si>
  <si>
    <t>IPW = (1-p(x))/(1-p(x)) = 1</t>
  </si>
  <si>
    <t>Chad's IPW = -p(x)/(1-p(x)) = -0.2(1-0.2) = -0.2/0.8 = -0.25</t>
  </si>
  <si>
    <t>Chad does not look like a treated unit and the IPW weights Chad DOWN as a result (towards zero)</t>
  </si>
  <si>
    <t>Daniel's IPW = -p(x)/(1-p(x0)) = -0.5/(1-0.5) = -0.5/0.5 = -1</t>
  </si>
  <si>
    <t xml:space="preserve">Edith's IPW = -p(x)/(1-p(x)) = -0.8/(1-0.8) = -0.8/0.2 = -4. </t>
  </si>
  <si>
    <t>Edith "looks like" a treted unit. 80% of the units in the data with characteristics like Ediths'</t>
  </si>
  <si>
    <r>
      <t xml:space="preserve">are in the treatment group. So as a result, the IPW will </t>
    </r>
    <r>
      <rPr>
        <i/>
        <sz val="12"/>
        <color theme="1"/>
        <rFont val="Aptos Narrow"/>
        <scheme val="minor"/>
      </rPr>
      <t>weight her up</t>
    </r>
    <r>
      <rPr>
        <sz val="12"/>
        <color theme="1"/>
        <rFont val="Aptos Narrow"/>
        <scheme val="minor"/>
      </rPr>
      <t>. She will get a weight of 4</t>
    </r>
  </si>
  <si>
    <t>Frank's IPW = -p(x)/(1-p(x)) = -0.9999/(1-0.9999) = -9,999</t>
  </si>
  <si>
    <t xml:space="preserve">Frank looks almost exactly like a treated unit, but his weight is making him an outlier. He's an </t>
  </si>
  <si>
    <t xml:space="preserve">outlier on the weights, not the outcome. </t>
  </si>
  <si>
    <t>IPW x Delta Y</t>
  </si>
  <si>
    <t>average</t>
  </si>
  <si>
    <t>&lt;- 2x2</t>
  </si>
  <si>
    <t>1/Dbar</t>
  </si>
  <si>
    <t>DID(abadie)</t>
  </si>
  <si>
    <t>muhat</t>
  </si>
  <si>
    <t>Year</t>
  </si>
  <si>
    <t>City</t>
  </si>
  <si>
    <t>Milan</t>
  </si>
  <si>
    <t>Dbar</t>
  </si>
  <si>
    <t>1-Dbar</t>
  </si>
  <si>
    <t>"percent of time not treated" (in this dataset)</t>
  </si>
  <si>
    <t>"percent of time treated" (in this dateset)</t>
  </si>
  <si>
    <t>Dbar(1-Dbar)</t>
  </si>
  <si>
    <t>"variance"</t>
  </si>
  <si>
    <t>TWFE weights have "variance weights" in the numerator.</t>
  </si>
  <si>
    <t xml:space="preserve">which means that TWFE will INFLATE a coefficient by </t>
  </si>
  <si>
    <t xml:space="preserve">the group streated in the middle.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</si>
</sst>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148907</xdr:colOff>
      <xdr:row>0</xdr:row>
      <xdr:rowOff>186480</xdr:rowOff>
    </xdr:from>
    <xdr:to>
      <xdr:col>13</xdr:col>
      <xdr:colOff>226692</xdr:colOff>
      <xdr:row>22</xdr:row>
      <xdr:rowOff>103985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7A8C7B1-AF67-F4A5-8CEF-40A8B583A186}"/>
                </a:ext>
              </a:extLst>
            </xdr14:cNvPr>
            <xdr14:cNvContentPartPr/>
          </xdr14:nvContentPartPr>
          <xdr14:nvPr macro=""/>
          <xdr14:xfrm>
            <a:off x="5122440" y="186480"/>
            <a:ext cx="5880240" cy="44499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7A8C7B1-AF67-F4A5-8CEF-40A8B583A1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13440" y="177481"/>
              <a:ext cx="5897880" cy="446759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4T12:24:29.6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3292 981 24575,'0'84'0,"0"2"0,0-20 0,0 1-419,0-11 1,0-2 418,0-1 0,0 6 0,0 16 0,0 12 0,0-1 0,0-7 0,0 0 0,0 4-805,0-8 0,0 4 1,0 1-1,0-4 805,0 8 0,0-2 0,0 3 0,0-9 0,0 3 0,0 0 0,0-3 0,0 2 0,0-4 0,0 9-728,0 0 0,0 10 0,0 3 0,0-1 0,0-9 728,0 13 0,0-8 0,0 6 0,0-20 0,0 5 0,0 2 0,0-1 0,0-3-603,0 3 1,0-3 0,0 1 0,0 4 602,0 3 0,0 4 0,0 2 0,0-1 0,0-5 0,0 2 0,-1-5 0,1 1 0,1 5 0,0 2 0,1 4 0,0 3 0,1 0 0,0-1 0,3-1 0,0 0 0,1 0 0,0-2 0,0-4 0,0 0 0,0-5 0,1 0 0,0 7 0,1-6 0,1 7 0,0 3 0,1-1 0,-1-6 0,-1-11 0,1 9 0,-1-12 0,0 4-293,0-4 1,1 4 0,0 0-1,-1-2 293,1 20 0,0-2 0,0-3 0,0-13 0,0-1 0,0 1 0,1 12 0,-1 3 0,0-5 0,0-16 0,-1-4 0,0 0 163,-1 0 0,-1 0 1,0-4-164,2 15 0,-1-2 1672,1 13 1,-1-4-1673,-2-29 0,0-4 0,-2-2 0,0-2 0,2 47 0,-2-4 0,-2-34 0,-1 0 0,2 29 1514,-1-24 0,0-3-1514,0 10 2423,4 22-2423,-1-40 1800,0 9-1800,-2-34 189,0-3-189,-1-17 0,-1 4 0,-10-1 0,7-2 0,-6-3 0</inkml:trace>
  <inkml:trace contextRef="#ctx0" brushRef="#br0" timeOffset="1133">3329 10378 22907,'15'0'0,"18"0"0,49 0 0,-25 0 0,4 0-1504,15 0 0,4 0 1504,9 0 0,6 0-813,-23 0 0,7 0 0,0 0 0,-3 0 813,8 0 0,-4 0 0,5 0 0,-2 0 0,5 0 0,0 0 0,-4 0 0,6 0 0,-5 0 0,0 0-153,-3 0 1,-1 0 0,1 0 152,0 0 0,0 0 0,0 0 0,0 0 0,0 0 0,0 0-639,0 0 0,0 0 0,1 0 639,7 0 0,2 0 0,-1 0 0,1 0 0,1 0 0,-1 0 0,-2 0 0,-1 0 0,1 0 0,0 0 0,0 0 0,5 0 0,0 0 0,6 0 0,1 0 0,-4 0 0,-18 0 0,-3 0 0,1 0 0,4 0-431,1 0 1,4 0 0,3 0 0,-3 0 0,-3 0 430,-1 0 0,-3 0 0,-2 0 0,2 0 0,2 0 0,2 0 0,-1 0 0,1 0-305,-2 0 0,0 0 0,2 0 0,8 0 305,-3-1 0,8 1 0,4-1 0,1 0 0,-2 0 0,-6 0-250,-3 0 1,-5 0 0,-2 0 0,2-1 0,4 1 249,3-1 0,6 0 0,1-1 0,0 1 0,-4-1 0,-6 0 0,8 0 0,-6-1 0,-3 0 0,-1 0 0,-8 1 0,-1-1 0,-1 1 0,3 0-167,9-1 0,2 1 1,0 0-1,0 0 167,0 2 0,0-1 0,0 1 0,1 1 0,-14-1 0,1 0 0,1 0 0,0 0 0,-2 0 0,18 1 0,0 0 0,-1 0 0,-1-1 0,-2 1 0,-1-1 0,-1 0 0,-2-1 218,-11 1 0,-1-1 0,-2 0 1,-2 0-219,16 0 0,-3 0 0,-1-1 0,-8 0 0,-2 0 0,-1-1 1272,24-1 0,2 1-1272,-15 1 0,3 0 0,-5-1 0,5-2 0,-2-1 0,12 2 0,-2 1 0,-13 1 0,-4 0 0,-12 2 0,-2 0 0,4 1 0,-3 0 0,31 0 3622,-35 0-3622,0 1 4525,23 9-4525,-27 1 3280,16 5-3280,-26-1 742,-17-5-742,1 0 0,-23-7 0,-2 1 0</inkml:trace>
  <inkml:trace contextRef="#ctx0" brushRef="#br0" timeOffset="2133">15670 10995 24575,'0'34'0,"0"-3"0,0 17 0,0 19 0,0-6 0,0 27 0,0-13 0,0 7 0,0-30 0,0-2 0,0 25 0,0-22 0,0-2 0,0 0 0,0 15 0,0-25 0,0 4 0,0-16 0,0-3 0,0-12 0,0-8 0,0 0 0</inkml:trace>
  <inkml:trace contextRef="#ctx0" brushRef="#br0" timeOffset="3424">15640 10866 24575,'7'2'0,"17"1"0,2-3 0,15 0 0,-7 0 0,-2 0 0,3 0 0,-6 15 0,-5 1 0,-11 16 0,-10-1 0,-3-2 0,0 11 0,0 15 0,0-2 0,0 11 0,0-13 0,0 10 0,0-4 0,0 14 0,-2 15 0,-2-14 0,-6 16 0,-7-24 0,-4-2 0,0-8 0,-11 16 0,1-11 0,-7 8 0,6-19 0,-12 14 0,18-27 0,-13 19 0,18-30 0,3-3 0,-2 2 0,9-11 0,-1 0 0,6-10 0,2-2 0,2 0 0</inkml:trace>
  <inkml:trace contextRef="#ctx0" brushRef="#br0" timeOffset="4474">15260 10769 19166,'-2'-9'0,"8"4"2498,10 1-2498,20 4 921,16 0-921,17 0 0,8 0 0,5 0 0,5 0-3,5 0 3,7 0 0,-49 0 0,0 0 0,44 0 0,-9 0 1472,-17 0-1472,-20 0 0,-15 0 0,-16 0 0,-9 0 0,-4 0 0,-2 0 0,-3 0 0</inkml:trace>
  <inkml:trace contextRef="#ctx0" brushRef="#br0" timeOffset="6216">0 990 24575,'8'11'0,"5"6"0,16 29 0,-3-10 0,7 18 0,-1 4 0,2 17 0,7 5 0,-11-12 0,-10-30 0,-5-11 0,-6-11 0,2 3 0,-6-9 0,0-1 0,-1-1 0,1-2 0,-1-5 0,-1-6 0,-2-5 0,1-34 0,4-10 0,6-40 0,-3 38 0,0-2 0,3-11 0,0-5 0,-2 3 0,1-6 0,-1 2-919,3-19 0,-1 1 919,-3 26 0,0-2 0,-2 3 0,0-21 0,-3 7 0,2-14 0,-5 29 0,0 6 0,-1 11 0,0 6 0,0 29 0,0 8 0</inkml:trace>
  <inkml:trace contextRef="#ctx0" brushRef="#br0" timeOffset="10416">4410 10313 24575,'0'-13'0,"0"-36"0,0 3 0,0-36 0,0 12 0,0 20 0,0-2 0,0 2 0,0-2 0,0-9 0,0-4-388,-1-16 1,2-1 387,0 14 0,2-1 0,1-17 0,4-3 0,6-5 0,4 0-928,1 3 1,1-1 927,2-3 0,0 0 0,-2 9 0,0 4-2957,-5 20 1,0 2 2956,0-2 0,0 1 0,0 0 0,-1 2-206,0 0 1,0 1 205,0-5 0,1 0 0,-1 2 0,1-3 0,6-28 0,0-1 0,-6 25 0,2 1 0,3-19 0,1-3-208,4-5 1,1 2 207,-5 22 0,-1-1 0,-2 7 0,1-4 0,0 1 0,11-24 0,-2 4 0,-9 23 0,0 0 0,8-19 0,-1 3 523,-9 27 0,-1 2-523,0-3 0,0-2 0,3-12 0,-1 1 0,-4 14 0,-1 1 0,4-15 0,0 4 6022,6-17-6022,-7 27 0,2 1 0,11-20 0,-1 9 0,2 0 648,8-9-648,-2 6 0,1 0 0,7-7 328,-6 12 1,1 0-329,7-7 0,-14 23 0,0 0 174,15-18-174,12-12 0,-15 22 0,2 0-298,-7 9 0,1 0 298,8-9 0,2 1 0,2 4 0,3 0 0,12-9 0,2 0 0,-5 9 0,1 0-1017,4-3 1,3 1 1016,8 2 0,6 1 0,-19 12 0,3 0 0,-1 1 0,-2 0 0,0 1 0,0 0 0,2 2 0,0 1 0,-4 4 0,-2 3 0,0 2 0,7-2 0,6-1 0,-3 2 0,13-4 0,2 2 0,-6 1 0,5-1 0,-4 2 0,7 0 0,-4 2 0,-2 1 0,2 1 0,-11 5 0,5 0 0,-3 1 0,-9 2 0,-1 2 0,1-1 0,12-1 0,3 0 0,-3 2 0,22 0 0,-6 2 0,-17 1 0,2 0 0,7 2 0,9 0 0,-7 1 0,-6 0 0,1 1 0,11 0 0,9 0 0,-11 0 0,-18 1 0,-5 0 0,13 2 0,-1 2 181,-17 2 0,-2 2-181,-4 1 0,2 2 0,16 10 0,0 1 0,-24-6 0,0 2 0,25 12 0,-5 2 0,3 10 0,-28-14 0,-3 2 0,10 17 0,-18-10 0,-1 0 0,8 15 0,19 23 0,-33-34 0,1 2 0,-2 0 0,1 2 0,7 5 0,-1 1 0,-7-6 0,-1 1 0,4 5 0,-1-1 0,-5-8 0,-1 1 0,7 9 0,-2 0 0,15 27 543,-1-4-543,-15-19 0,0 1 0,14 31 566,-17-32 0,-1 3-566,2 6 0,-3-2 0,-6-14 0,0 0 0,6 15 0,0 4 70,-1 2 1,-3-1-71,-6-20 0,0 0 0,5 18 0,0 2-446,-2 1 0,-2-2 446,-2-12 0,0 1 0,5 19 0,0 3-53,-1 1 1,0 0 52,-2 3 0,0 0 0,0-1 0,0-1 21,-2-3 1,-2-5-22,-1-22 0,-1-2 0,1 3 0,0-1 0,-2 0 0,0 1 0,1 5 0,0 1 0,-1 9 0,0 0 0,1 2 0,-1 0 0,1-6 0,-2-2 0,-1-6 0,0-2-265,5 44 265,-8-47 0,0 1 0,0 4 0,1 2 0,-2 0 0,0 0 0,-1 1 0,0-1 0,0 3 0,1 0 0,-1-1 0,-1 0 0,1-1 0,0 0 0,-1-4 0,0 1 0,0 7 0,0-1 0,0-8 0,1 1 0,0 28 0,-1 0 0,1-29 0,-1-1 0,0 16 0,-1 0 437,0-11 1,0-2-438,0 2 0,0 1 0,0-5 0,0-2 0,0 40 0,0-24 0,0-4 0,0-11 0,0 1 0,0 11 110,0 24-110,0-44 956,0 1-956,0 10 551,0-17-551,0 4 0,0-19 0,0-8 0,0-1 0,0-7 0,0-1 0,0 0 0,0 1 0,0-1 0,0-1 0,0-3 0</inkml:trace>
  <inkml:trace contextRef="#ctx0" brushRef="#br0" timeOffset="13374">9463 3135 24575,'-50'0'0,"-40"0"0,30 0 0,-7 0-1974,-25 0 1,-4 0 1973,10 0 0,1 0 0,-9 0 0,0 0 0,13 0 0,1 0 0,0 0 0,0 0 0,-9 0 0,2 0 94,17 0 0,3 0-94,6 0 0,3 0 537,-38 0-537,31 0 0,-4 0 0,-9 0 0,-2 0 0,-5 0 0,1 0 0,10 0 0,3 0 0,18 0 0,3 0 1950,-21 0-1950,-4 0 884,23 0-884,-3 0 388,-22 0-388,19 0 0,-36 0 0,45 0 0,-11 0 0,-2 0 0,14 0 0,-22 0 0,18 1 0,-1 4 0,-19-1 0,24 1 0,-13-1 0,26-2 0,-2 0 0,-3 0 0,1 0 0,-1 0 0,3 0 0,1-2 0,-2 0 0,1 0 0,-2 0 0,0 0 0,0 0 0,0 0 0,-34 0 0,27 0 0,-21 0 0,35 1 0,-15 2 0,10-2 0,-16 1 0,15-1 0,-21 1 0,-23 1 0,-15 2 0,8-1 0,18 0 0,23-2 0,-6 2 0,1 0 0,-10 1 0,-4-1 0,10 1 0,-5-2 0,-2-1 0,15-2 0,-10 2 0,19 0 0,-19 2 0,13 0 0,-14 0 0,16 0 0,-3 0 0,-27 4 0,25-5 0,-19 2 0,23-5 0,8 0 0,-9 0 0,16 0 0,-2 0 0,3 0 0,3 0 0,5 0 0,3 0 0,0 1 0,-1 2 0,-1 2 0,-7 3 0,9-3 0,-5 3 0,11-4 0,4 1 0,1 4 0,5-5 0,1 1 0</inkml:trace>
  <inkml:trace contextRef="#ctx0" brushRef="#br0" timeOffset="20658">9429 3304 24575,'0'13'0,"0"1"0,0 41 0,0-21 0,0 47 0,0-40 0,0 25 0,0-20 0,0 9 0,0 9 0,-1-14 0,2 2 0,0 29 0,6-1 0,3 1 0,5 1 0,1 0 0,0 1 0,4 9 0,-8-19 0,-1 0 0,1 17 0,-3-18 0,-1 1 0,2 24 0,-3-23 0,-1 1 0,-2 23 0,1-23 0,0 1 0,-4-21 0,1-1 0,1 8 0,0 1 0,-1-2 0,-1-3 0,1 31 0,-2-24 0,1-1 0,0 21 0,0-11 0,1 2 0,1-25 0,0-1 0,-1 6 0,2 1 0,-1 0 0,1-3 0,2 12 0,-4-13 0,0 1 0,1 25 0,-3 2 0,0 15 0,0-29 0,0 31 0,0-19 0,0 4 0,0 13 0,0-30 0,0-10 0,0 0 0,0 15 0,0-10 0,0 4 0,0-1 0,0 2 0,0 19 0,0 3 0,0 0 0,0-3 0,0-10 0,0-5 0,0-15 0,0-3 0,0 34 0,0-11 0,0 21 0,0-33 0,0 29 0,0-24 0,0 3 0,0 10 0,0-30 0,0 38 0,0-37 0,0 32 0,0-28 0,0 4 0,0 3 0,0-23 0,0 30 0,0-36 0,0 19 0,0-29 0,0 8 0,0-9 0,0 17 0,0-8 0,0 5 0,0-2 0,0 4 0,0 0 0,0 21 0,0-20 0,-4 25 0,2-31 0,-6 22 0,5-28 0,-2 12 0,4-22 0,0 1 0,1-15 0,0 1 0</inkml:trace>
  <inkml:trace contextRef="#ctx0" brushRef="#br0" timeOffset="23066">8861 11197 24575,'-11'-3'0,"-1"1"0,-5 2 0,-3 0 0,-2 0 0,-3 0 0,-1 0 0,2 2 0,-8 11 0,14-3 0,-7 20 0,11-11 0,0 7 0,3-6 0,-2 9 0,2-5 0,-2 10 0,2-6 0,1 0 0,-3 16 0,4-10 0,0 10 0,4-17 0,-1 9 0,0-6 0,-1 6 0,4 1 0,1-13 0,2 6 0,0-14 0,0 3 0,0-5 0,0 10 0,2-7 0,1 8 0,2-8 0,3 2 0,-2-5 0,4 1 0,5-3 0,2 0 0,2-1 0,-2-3 0,-1 0 0,-2-2 0,3 2 0,5-2 0,-2-3 0,13 0 0,-9-3 0,5 0 0,-7 0 0,-4 0 0,7 0 0,-10 0 0,7 0 0,-13 0 0,4 0 0,-5 0 0,5-2 0,7-3 0,0-1 0,7-4 0,-6 1 0,3-3 0,-5 1 0,0 0 0,-11 3 0,1-7 0,-4 2 0,3-3 0,-4 4 0,0 4 0,-1-4 0,0 3 0,2-13 0,-2 7 0,1-6 0,-3-2 0,-1 9 0,0-8 0,0 3 0,0 3 0,0-11 0,0 2 0,0 3 0,0-3 0,0 4 0,0-13 0,0 6 0,0-5 0,0 11 0,-1 3 0,-2 3 0,-2 0 0,-1 4 0,1 1 0,-4-4 0,5 6 0,-4-6 0,5 8 0,-1 1 0,-1 1 0,0 1 0,0-1 0,1 2 0,-2 1 0,-1-1 0,-3 2 0,-3-1 0,-2 1 0,-2-1 0,-1 0 0,-2 0 0,0 1 0,-4 1 0,7 0 0,-1 0 0,10 0 0,3 0 0,3 0 0</inkml:trace>
  <inkml:trace contextRef="#ctx0" brushRef="#br0" timeOffset="23866">9306 12029 24575,'0'0'0</inkml:trace>
  <inkml:trace contextRef="#ctx0" brushRef="#br0" timeOffset="25900">9881 11161 24575,'-23'0'0,"6"0"0,-19 0 0,16 0 0,-9 0 0,9 0 0,0 0 0,5 0 0,2 0 0,1 0 0,-5 0 0,3 0 0,-1 0 0,6 0 0,0 0 0,-2 0 0,-1 0 0,0 0 0,3 0 0,8 0 0,6 7 0,7 13 0,2 3 0,0 10 0,-2-6 0,4 15 0,-3-9 0,2 6 0,-6-15 0,-1-4 0,0-2 0,0-2 0,3 7 0,-5-4 0,3 3 0,-4-3 0,-1-5 0,0 0 0,-1-2 0,1-1 0,0 0 0,1 3 0,0-3 0,-1-2 0,0-6 0,0-2 0,1-7 0,1-2 0,-1-5 0,7-4 0,-3 5 0,9-6 0,-5 6 0,4 0 0,10 0 0,-9 5 0,10 0 0,-10 5 0,-1 1 0,1 0 0,-2 1 0,-1 0 0,1 0 0,7 6 0,-4 1 0,4 5 0,-1 5 0,-7-2 0,5 6 0,-5 5 0,-3-4 0,2 9 0,-5-6 0,0 1 0,-1 1 0,-1 0 0,0-2 0,-2 12 0,-2-10 0,-1 23 0,-5-22 0,-4 11 0,-4-15 0,-18 10 0,6-8 0,-16 6 0,8-11 0,-5-3 0,-21-1 0,9-6 0,-13 0 0,20-7 0,3-2 0,6-2 0,4 0 0,6 0 0,2 0 0,8 0 0,2 0 0,8 0 0</inkml:trace>
  <inkml:trace contextRef="#ctx0" brushRef="#br0" timeOffset="30541">927 3390 24102,'-6'4'0,"3"28"235,1 10-235,2 7 79,0-8-79,0-1 40,0-9-40,0 17 119,0-11-119,0-3 0,0-5 0,0-6 0,3-2 0,10 3 0,8 2 0,16-3 0,-2-5 0,2-10 0,-11-5 0,0-3 0,11 0 0,-6-1 0,11-4 0,-14-3 0,10-11 0,-9 2 0,4-6 0,-6-3 0,-7 4 0,3-5 0,-5 4 0,-7 8 0,1-4 0,-7 8 0,0-5 0,-3-6 0,-1 1 0,-1-5 0,0-2 0,0 8 0,0-10 0,-2 15 0,-4-3 0,-9 4 0,0 1 0,-6 1 0,2 2 0,-11-3 0,-1 2 0,-4 0 0,5 4 0,6 3 0,3 1 0,-1 2 0,-1 0 0,1 1 0,1 0 0,5 0 0,-7 0 0,9 0 0,-14 0 0,12 2 0,-8 3 0,7 1 0,-6 10 0,8-3 0,-2 3 0,9-7 0,2-1 0,1-2 0,3-3 0,0 0 0</inkml:trace>
  <inkml:trace contextRef="#ctx0" brushRef="#br0" timeOffset="31349">1700 3870 24575,'0'0'0</inkml:trace>
  <inkml:trace contextRef="#ctx0" brushRef="#br0" timeOffset="33058">1622 2910 24575,'2'-8'0,"3"2"0,2 3 0,2 3 0,10 0 0,-2 0 0,11 0 0,-8 0 0,4 0 0,-2 1 0,1 3 0,-1 2 0,-1 4 0,4 3 0,1 2 0,-4-1 0,-4-1 0,11 12 0,-11-9 0,12 13 0,-14-10 0,-2-1 0,5 9 0,-5-7 0,2 9 0,-1-2 0,2 5 0,-3-6 0,-1 0 0,-7-10 0,0-1 0,0-1 0,1 10 0,-3 2 0,1 17 0,-4 4 0,-1-8 0,-6 9 0,-13-7 0,3-6 0,-16 4 0,16-24 0,-15 10 0,11-12 0,-6 4 0,7-6 0,1-2 0,1 0 0,5-3 0,2 0 0,2-5 0,-6-8 0,4 2 0,-3-8 0,10-3 0,2 1 0,0-5 0,1 2 0,2-3 0,4-4 0,5-3 0,6-1 0,4-2 0,0 4 0,8-2 0,-9 11 0,6-1 0,-1 3 0,4 6 0,1-4 0,1 8 0,-11-1 0,14-2 0,-8 2 0,7-3 0,-11 4 0,-2 2 0,4 2 0,-6 2 0,4-1 0,-6 1 0,0 0 0,9 2 0,7 7 0,-5-3 0,1 7 0,-20-7 0,-2 2 0,-4-6 0,-2 1 0</inkml:trace>
  <inkml:trace contextRef="#ctx0" brushRef="#br0" timeOffset="34816">2322 2538 24575,'-25'0'0,"4"0"0,10 0 0,0 0 0,1 1 0,4 8 0,8 9 0,9 7 0,2-1 0,3-3 0,3 0 0,-5-6 0,11 5 0,-12-8 0,2 0 0,-7-5 0,5 2 0,5 3 0,-1-2 0,2 3 0,-7-7 0,4 2 0,-6-2 0,2 1 0,-4-1 0,-1-1 0,3-2 0,-3-1 0,1-2 0,-3 0 0,1 0 0,1 0 0,3 0 0,3-3 0,3-5 0,9-10 0,-6 2 0,6-5 0,-11 10 0,2 1 0,-4 5 0,7 1 0,-6 3 0,5 1 0,-3 0 0,0 4 0,5 10 0,-5-1 0,6 17 0,-10-11 0,3 10 0,-8-5 0,-1 2 0,-4 14 0,-3 0 0,-6 5 0,-8-6 0,-7-8 0,-5-2 0,-14 3 0,12-13 0,-11 1 0,28-15 0,2-2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A491-DC7D-6B4F-8459-DE569DCCBAF0}">
  <dimension ref="A1:G19"/>
  <sheetViews>
    <sheetView zoomScale="175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10</v>
      </c>
      <c r="F1" t="s">
        <v>21</v>
      </c>
      <c r="G1" t="s">
        <v>26</v>
      </c>
    </row>
    <row r="2" spans="1:7" x14ac:dyDescent="0.2">
      <c r="A2" t="s">
        <v>1</v>
      </c>
      <c r="B2">
        <v>1</v>
      </c>
      <c r="C2">
        <v>75</v>
      </c>
      <c r="D2">
        <v>0.8</v>
      </c>
      <c r="E2">
        <f>(B2-D2)/(1-D2)</f>
        <v>1</v>
      </c>
      <c r="F2">
        <f>E2*C2</f>
        <v>75</v>
      </c>
    </row>
    <row r="3" spans="1:7" x14ac:dyDescent="0.2">
      <c r="A3" t="s">
        <v>2</v>
      </c>
      <c r="B3">
        <v>1</v>
      </c>
      <c r="C3">
        <v>150</v>
      </c>
      <c r="D3">
        <v>0.9</v>
      </c>
      <c r="E3">
        <f>(B3-D3)/(1-D3)</f>
        <v>1</v>
      </c>
      <c r="F3">
        <f t="shared" ref="F3:F7" si="0">E3*C3</f>
        <v>150</v>
      </c>
    </row>
    <row r="4" spans="1:7" x14ac:dyDescent="0.2">
      <c r="A4" s="1" t="s">
        <v>3</v>
      </c>
      <c r="B4" s="1">
        <v>0</v>
      </c>
      <c r="C4" s="1">
        <v>25</v>
      </c>
      <c r="D4" s="1">
        <v>0.2</v>
      </c>
      <c r="E4" s="1">
        <f t="shared" ref="E4:E7" si="1">(B4-D4)/(1-D4)</f>
        <v>-0.25</v>
      </c>
      <c r="F4" s="1">
        <f t="shared" si="0"/>
        <v>-6.25</v>
      </c>
    </row>
    <row r="5" spans="1:7" x14ac:dyDescent="0.2">
      <c r="A5" s="1" t="s">
        <v>4</v>
      </c>
      <c r="B5" s="1">
        <v>0</v>
      </c>
      <c r="C5" s="1">
        <v>45</v>
      </c>
      <c r="D5" s="1">
        <v>0.5</v>
      </c>
      <c r="E5" s="1">
        <f t="shared" si="1"/>
        <v>-1</v>
      </c>
      <c r="F5" s="1">
        <f t="shared" si="0"/>
        <v>-45</v>
      </c>
    </row>
    <row r="6" spans="1:7" x14ac:dyDescent="0.2">
      <c r="A6" s="1" t="s">
        <v>5</v>
      </c>
      <c r="B6" s="1">
        <v>0</v>
      </c>
      <c r="C6" s="1">
        <v>100</v>
      </c>
      <c r="D6" s="1">
        <v>0.8</v>
      </c>
      <c r="E6" s="1">
        <f t="shared" si="1"/>
        <v>-4.0000000000000009</v>
      </c>
      <c r="F6" s="1">
        <f t="shared" si="0"/>
        <v>-400.00000000000011</v>
      </c>
    </row>
    <row r="9" spans="1:7" x14ac:dyDescent="0.2">
      <c r="E9" t="s">
        <v>22</v>
      </c>
      <c r="F9">
        <f>AVERAGE(F2:F7)</f>
        <v>-45.250000000000021</v>
      </c>
      <c r="G9" t="s">
        <v>23</v>
      </c>
    </row>
    <row r="10" spans="1:7" x14ac:dyDescent="0.2">
      <c r="E10" t="s">
        <v>24</v>
      </c>
      <c r="F10">
        <f>1/AVERAGE(B2:B7)</f>
        <v>2.5</v>
      </c>
    </row>
    <row r="11" spans="1:7" x14ac:dyDescent="0.2">
      <c r="A11" t="s">
        <v>9</v>
      </c>
      <c r="E11" t="s">
        <v>25</v>
      </c>
      <c r="F11">
        <f>F9*F10</f>
        <v>-113.12500000000006</v>
      </c>
    </row>
    <row r="12" spans="1:7" x14ac:dyDescent="0.2">
      <c r="A12" t="s">
        <v>11</v>
      </c>
    </row>
    <row r="14" spans="1:7" x14ac:dyDescent="0.2">
      <c r="A14" t="s">
        <v>12</v>
      </c>
      <c r="F14" t="s">
        <v>13</v>
      </c>
    </row>
    <row r="15" spans="1:7" x14ac:dyDescent="0.2">
      <c r="A15" t="s">
        <v>14</v>
      </c>
    </row>
    <row r="16" spans="1:7" x14ac:dyDescent="0.2">
      <c r="A16" t="s">
        <v>15</v>
      </c>
      <c r="F16" t="s">
        <v>16</v>
      </c>
    </row>
    <row r="17" spans="1:6" x14ac:dyDescent="0.2">
      <c r="F17" t="s">
        <v>17</v>
      </c>
    </row>
    <row r="18" spans="1:6" x14ac:dyDescent="0.2">
      <c r="A18" t="s">
        <v>18</v>
      </c>
      <c r="F18" t="s">
        <v>19</v>
      </c>
    </row>
    <row r="19" spans="1:6" x14ac:dyDescent="0.2">
      <c r="F1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7107-EBB2-314C-BB96-CCCBA3AFECED}">
  <dimension ref="A1:D20"/>
  <sheetViews>
    <sheetView tabSelected="1" zoomScale="167" workbookViewId="0">
      <selection activeCell="G9" sqref="G9"/>
    </sheetView>
  </sheetViews>
  <sheetFormatPr baseColWidth="10" defaultRowHeight="16" x14ac:dyDescent="0.2"/>
  <sheetData>
    <row r="1" spans="1:4" x14ac:dyDescent="0.2">
      <c r="A1" t="s">
        <v>28</v>
      </c>
      <c r="B1" t="s">
        <v>27</v>
      </c>
      <c r="C1" t="s">
        <v>6</v>
      </c>
    </row>
    <row r="2" spans="1:4" x14ac:dyDescent="0.2">
      <c r="A2" t="s">
        <v>29</v>
      </c>
      <c r="B2">
        <v>1980</v>
      </c>
      <c r="C2">
        <v>0</v>
      </c>
    </row>
    <row r="3" spans="1:4" x14ac:dyDescent="0.2">
      <c r="A3" t="s">
        <v>29</v>
      </c>
      <c r="B3">
        <v>1981</v>
      </c>
      <c r="C3">
        <v>1</v>
      </c>
    </row>
    <row r="4" spans="1:4" x14ac:dyDescent="0.2">
      <c r="A4" t="s">
        <v>29</v>
      </c>
      <c r="B4">
        <v>1982</v>
      </c>
      <c r="C4">
        <v>1</v>
      </c>
    </row>
    <row r="5" spans="1:4" x14ac:dyDescent="0.2">
      <c r="A5" t="s">
        <v>29</v>
      </c>
      <c r="B5">
        <v>1983</v>
      </c>
      <c r="C5">
        <v>1</v>
      </c>
    </row>
    <row r="6" spans="1:4" x14ac:dyDescent="0.2">
      <c r="A6" t="s">
        <v>29</v>
      </c>
      <c r="B6">
        <v>1984</v>
      </c>
      <c r="C6">
        <v>1</v>
      </c>
    </row>
    <row r="7" spans="1:4" x14ac:dyDescent="0.2">
      <c r="A7" t="s">
        <v>29</v>
      </c>
      <c r="B7">
        <v>1985</v>
      </c>
      <c r="C7">
        <v>1</v>
      </c>
    </row>
    <row r="8" spans="1:4" x14ac:dyDescent="0.2">
      <c r="A8" t="s">
        <v>29</v>
      </c>
      <c r="B8">
        <v>1986</v>
      </c>
      <c r="C8">
        <v>1</v>
      </c>
    </row>
    <row r="9" spans="1:4" x14ac:dyDescent="0.2">
      <c r="A9" t="s">
        <v>29</v>
      </c>
      <c r="B9">
        <v>1987</v>
      </c>
      <c r="C9">
        <v>1</v>
      </c>
    </row>
    <row r="10" spans="1:4" x14ac:dyDescent="0.2">
      <c r="A10" t="s">
        <v>29</v>
      </c>
      <c r="B10">
        <v>1988</v>
      </c>
      <c r="C10">
        <v>1</v>
      </c>
    </row>
    <row r="11" spans="1:4" x14ac:dyDescent="0.2">
      <c r="A11" t="s">
        <v>29</v>
      </c>
      <c r="B11">
        <v>1989</v>
      </c>
      <c r="C11">
        <v>1</v>
      </c>
    </row>
    <row r="12" spans="1:4" x14ac:dyDescent="0.2">
      <c r="A12" t="s">
        <v>29</v>
      </c>
      <c r="B12">
        <v>1990</v>
      </c>
      <c r="C12">
        <v>1</v>
      </c>
    </row>
    <row r="14" spans="1:4" x14ac:dyDescent="0.2">
      <c r="B14" t="s">
        <v>30</v>
      </c>
      <c r="C14">
        <f>AVERAGE(C2:C12)</f>
        <v>0.90909090909090906</v>
      </c>
      <c r="D14" t="s">
        <v>33</v>
      </c>
    </row>
    <row r="15" spans="1:4" ht="17" thickBot="1" x14ac:dyDescent="0.25">
      <c r="B15" t="s">
        <v>31</v>
      </c>
      <c r="C15">
        <f>1-C14</f>
        <v>9.0909090909090939E-2</v>
      </c>
      <c r="D15" t="s">
        <v>32</v>
      </c>
    </row>
    <row r="16" spans="1:4" ht="17" thickBot="1" x14ac:dyDescent="0.25">
      <c r="B16" s="2" t="s">
        <v>34</v>
      </c>
      <c r="C16" s="3">
        <f>C14*C15</f>
        <v>8.2644628099173584E-2</v>
      </c>
      <c r="D16" t="s">
        <v>35</v>
      </c>
    </row>
    <row r="18" spans="2:2" x14ac:dyDescent="0.2">
      <c r="B18" t="s">
        <v>36</v>
      </c>
    </row>
    <row r="19" spans="2:2" x14ac:dyDescent="0.2">
      <c r="B19" t="s">
        <v>37</v>
      </c>
    </row>
    <row r="20" spans="2:2" x14ac:dyDescent="0.2">
      <c r="B20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2026-06-04T08:53:51Z</dcterms:created>
  <dcterms:modified xsi:type="dcterms:W3CDTF">2026-06-04T17:15:02Z</dcterms:modified>
</cp:coreProperties>
</file>